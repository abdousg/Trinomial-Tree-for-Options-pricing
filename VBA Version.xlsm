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bdou/Desktop/"/>
    </mc:Choice>
  </mc:AlternateContent>
  <xr:revisionPtr revIDLastSave="0" documentId="8_{2B184EE7-D615-634A-9ADC-23EC80F9B7E9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Pricing" sheetId="1" r:id="rId1"/>
    <sheet name="Arbre" sheetId="11" r:id="rId2"/>
    <sheet name="Convergence" sheetId="12" r:id="rId3"/>
  </sheets>
  <functionGroups builtInGroupCount="19"/>
  <definedNames>
    <definedName name="bs_price">Convergence!$C$1</definedName>
    <definedName name="diff">Convergence!$D$1</definedName>
    <definedName name="div_date">Pricing!$I$9</definedName>
    <definedName name="n_steps">Pricing!$I$7</definedName>
    <definedName name="opt_strike">Convergence!$A$1</definedName>
    <definedName name="prc_date">Pricing!$I$8</definedName>
    <definedName name="range_am">Pricing!$E$19</definedName>
    <definedName name="range_call">Pricing!$E$18</definedName>
    <definedName name="rg_call">Pricing!$E$18</definedName>
    <definedName name="rg_delta">Pricing!$M$16</definedName>
    <definedName name="rg_div">Pricing!$E$10</definedName>
    <definedName name="rg_gamma">Pricing!$M$17</definedName>
    <definedName name="rg_mat">Pricing!$E$17</definedName>
    <definedName name="rg_prix_bs">Pricing!$M$9</definedName>
    <definedName name="rg_prix_pyt">Pricing!$M$8</definedName>
    <definedName name="rg_prix_vba">Pricing!$M$7</definedName>
    <definedName name="rg_rate">Pricing!$E$8</definedName>
    <definedName name="rg_spot">Pricing!$E$7</definedName>
    <definedName name="rg_strike">Pricing!$E$16</definedName>
    <definedName name="rg_vega">Pricing!$M$18</definedName>
    <definedName name="rg_vol">Pricing!$E$9</definedName>
    <definedName name="time_tree">Pricing!$I$10</definedName>
    <definedName name="TopLeftData">Arbre!$A$1</definedName>
    <definedName name="tree_price">Convergence!$B$1</definedName>
  </definedNames>
  <calcPr calcId="162913" calcMode="manual" calcCompleted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<sst xmlns="http://schemas.openxmlformats.org/spreadsheetml/2006/main" count="34" uniqueCount="32">
  <si>
    <t>Market</t>
  </si>
  <si>
    <t>Option</t>
  </si>
  <si>
    <t>True</t>
  </si>
  <si>
    <t>False</t>
  </si>
  <si>
    <t>Pricing</t>
  </si>
  <si>
    <t>Prix VBA</t>
  </si>
  <si>
    <t>Prix Python</t>
  </si>
  <si>
    <t>B&amp;S</t>
  </si>
  <si>
    <t>Grecques</t>
  </si>
  <si>
    <t>Delta</t>
  </si>
  <si>
    <t>Gamma</t>
  </si>
  <si>
    <t>Vega</t>
  </si>
  <si>
    <t>Tree</t>
  </si>
  <si>
    <t>Nombre de pas</t>
  </si>
  <si>
    <t>Date du pricing</t>
  </si>
  <si>
    <t>Date du dividende</t>
  </si>
  <si>
    <t>Temps de création</t>
  </si>
  <si>
    <t>s</t>
  </si>
  <si>
    <t>Spot</t>
  </si>
  <si>
    <t>Rate</t>
  </si>
  <si>
    <t>Vol</t>
  </si>
  <si>
    <t>Div</t>
  </si>
  <si>
    <t>Strike</t>
  </si>
  <si>
    <t>Maturité</t>
  </si>
  <si>
    <t>Call ?</t>
  </si>
  <si>
    <t>Américain ?</t>
  </si>
  <si>
    <t>TRUE</t>
  </si>
  <si>
    <t>FALSE</t>
  </si>
  <si>
    <t>Strike de l'option</t>
  </si>
  <si>
    <t>Prix de l'arbre</t>
  </si>
  <si>
    <t>Prix B_S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</si>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</sst>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AEB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3" borderId="0" xfId="0" applyFill="1"/>
    <xf numFmtId="0" fontId="0" fillId="3" borderId="3" xfId="0" applyFill="1" applyBorder="1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3" xfId="0" applyFill="1" applyBorder="1"/>
    <xf numFmtId="14" fontId="0" fillId="3" borderId="4" xfId="0" applyNumberFormat="1" applyFill="1" applyBorder="1"/>
    <xf numFmtId="14" fontId="0" fillId="3" borderId="0" xfId="0" applyNumberFormat="1" applyFill="1"/>
    <xf numFmtId="0" fontId="0" fillId="3" borderId="0" xfId="0" applyFill="1" applyAlignment="1">
      <alignment horizontal="right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6" xfId="0" applyFill="1" applyBorder="1" applyAlignment="1">
      <alignment horizontal="left"/>
    </xf>
    <xf numFmtId="0" fontId="0" fillId="3" borderId="7" xfId="0" applyFill="1" applyBorder="1"/>
    <xf numFmtId="0" fontId="0" fillId="3" borderId="8" xfId="0" applyFill="1" applyBorder="1"/>
    <xf numFmtId="0" fontId="0" fillId="3" borderId="6" xfId="0" applyFill="1" applyBorder="1"/>
    <xf numFmtId="0" fontId="0" fillId="3" borderId="9" xfId="0" applyFill="1" applyBorder="1" applyAlignment="1">
      <alignment horizontal="right"/>
    </xf>
    <xf numFmtId="0" fontId="0" fillId="3" borderId="10" xfId="0" applyFill="1" applyBorder="1"/>
    <xf numFmtId="0" fontId="0" fillId="3" borderId="11" xfId="0" applyFill="1" applyBorder="1"/>
    <xf numFmtId="14" fontId="0" fillId="3" borderId="4" xfId="0" applyNumberFormat="1" applyFill="1" applyBorder="1" applyAlignment="1">
      <alignment horizontal="right"/>
    </xf>
    <xf numFmtId="0" fontId="0" fillId="3" borderId="4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4" fillId="3" borderId="6" xfId="0" applyFont="1" applyFill="1" applyBorder="1"/>
    <xf numFmtId="0" fontId="4" fillId="3" borderId="7" xfId="0" applyFont="1" applyFill="1" applyBorder="1"/>
    <xf numFmtId="0" fontId="4" fillId="3" borderId="8" xfId="0" applyFont="1" applyFill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A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Comparaison des prix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Convergence!$A$1</c:f>
              <c:strCache>
                <c:ptCount val="1"/>
                <c:pt idx="0">
                  <c:v>Strike de l'option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4472C4"/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cat>
            <c:strRef>
              <c:f>Convergence!$A$1:$A$21</c:f>
              <c:strCache>
                <c:ptCount val="21"/>
                <c:pt idx="0">
                  <c:v>Strike de l'option</c:v>
                </c:pt>
                <c:pt idx="1">
                  <c:v>102</c:v>
                </c:pt>
                <c:pt idx="2">
                  <c:v>103</c:v>
                </c:pt>
                <c:pt idx="3">
                  <c:v>104</c:v>
                </c:pt>
                <c:pt idx="4">
                  <c:v>105</c:v>
                </c:pt>
                <c:pt idx="5">
                  <c:v>106</c:v>
                </c:pt>
                <c:pt idx="6">
                  <c:v>107</c:v>
                </c:pt>
                <c:pt idx="7">
                  <c:v>108</c:v>
                </c:pt>
                <c:pt idx="8">
                  <c:v>109</c:v>
                </c:pt>
                <c:pt idx="9">
                  <c:v>110</c:v>
                </c:pt>
                <c:pt idx="10">
                  <c:v>111</c:v>
                </c:pt>
                <c:pt idx="11">
                  <c:v>112</c:v>
                </c:pt>
                <c:pt idx="12">
                  <c:v>113</c:v>
                </c:pt>
                <c:pt idx="13">
                  <c:v>114</c:v>
                </c:pt>
                <c:pt idx="14">
                  <c:v>115</c:v>
                </c:pt>
                <c:pt idx="15">
                  <c:v>116</c:v>
                </c:pt>
                <c:pt idx="16">
                  <c:v>117</c:v>
                </c:pt>
                <c:pt idx="17">
                  <c:v>118</c:v>
                </c:pt>
                <c:pt idx="18">
                  <c:v>119</c:v>
                </c:pt>
                <c:pt idx="19">
                  <c:v>120</c:v>
                </c:pt>
                <c:pt idx="20">
                  <c:v>121</c:v>
                </c:pt>
              </c:strCache>
            </c:strRef>
          </c:cat>
          <c:val>
            <c:numRef>
              <c:f>Convergence!$A$2:$A$21</c:f>
              <c:numCache>
                <c:formatCode>General</c:formatCode>
                <c:ptCount val="20"/>
                <c:pt idx="0">
                  <c:v>102</c:v>
                </c:pt>
                <c:pt idx="1">
                  <c:v>103</c:v>
                </c:pt>
                <c:pt idx="2">
                  <c:v>104</c:v>
                </c:pt>
                <c:pt idx="3">
                  <c:v>105</c:v>
                </c:pt>
                <c:pt idx="4">
                  <c:v>106</c:v>
                </c:pt>
                <c:pt idx="5">
                  <c:v>107</c:v>
                </c:pt>
                <c:pt idx="6">
                  <c:v>108</c:v>
                </c:pt>
                <c:pt idx="7">
                  <c:v>109</c:v>
                </c:pt>
                <c:pt idx="8">
                  <c:v>110</c:v>
                </c:pt>
                <c:pt idx="9">
                  <c:v>111</c:v>
                </c:pt>
                <c:pt idx="10">
                  <c:v>112</c:v>
                </c:pt>
                <c:pt idx="11">
                  <c:v>113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117</c:v>
                </c:pt>
                <c:pt idx="16">
                  <c:v>118</c:v>
                </c:pt>
                <c:pt idx="17">
                  <c:v>119</c:v>
                </c:pt>
                <c:pt idx="18">
                  <c:v>120</c:v>
                </c:pt>
                <c:pt idx="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8D-CD47-ADB8-1B8612C303D1}"/>
            </c:ext>
          </c:extLst>
        </c:ser>
        <c:ser>
          <c:idx val="1"/>
          <c:order val="1"/>
          <c:tx>
            <c:strRef>
              <c:f>Convergence!$B$1</c:f>
              <c:strCache>
                <c:ptCount val="1"/>
                <c:pt idx="0">
                  <c:v>Prix de l'arbre</c:v>
                </c:pt>
              </c:strCache>
            </c:strRef>
          </c:tx>
          <c:marker>
            <c:symbol val="none"/>
          </c:marker>
          <c:cat>
            <c:strRef>
              <c:f>Convergence!$A$1:$A$21</c:f>
              <c:strCache>
                <c:ptCount val="21"/>
                <c:pt idx="0">
                  <c:v>Strike de l'option</c:v>
                </c:pt>
                <c:pt idx="1">
                  <c:v>102</c:v>
                </c:pt>
                <c:pt idx="2">
                  <c:v>103</c:v>
                </c:pt>
                <c:pt idx="3">
                  <c:v>104</c:v>
                </c:pt>
                <c:pt idx="4">
                  <c:v>105</c:v>
                </c:pt>
                <c:pt idx="5">
                  <c:v>106</c:v>
                </c:pt>
                <c:pt idx="6">
                  <c:v>107</c:v>
                </c:pt>
                <c:pt idx="7">
                  <c:v>108</c:v>
                </c:pt>
                <c:pt idx="8">
                  <c:v>109</c:v>
                </c:pt>
                <c:pt idx="9">
                  <c:v>110</c:v>
                </c:pt>
                <c:pt idx="10">
                  <c:v>111</c:v>
                </c:pt>
                <c:pt idx="11">
                  <c:v>112</c:v>
                </c:pt>
                <c:pt idx="12">
                  <c:v>113</c:v>
                </c:pt>
                <c:pt idx="13">
                  <c:v>114</c:v>
                </c:pt>
                <c:pt idx="14">
                  <c:v>115</c:v>
                </c:pt>
                <c:pt idx="15">
                  <c:v>116</c:v>
                </c:pt>
                <c:pt idx="16">
                  <c:v>117</c:v>
                </c:pt>
                <c:pt idx="17">
                  <c:v>118</c:v>
                </c:pt>
                <c:pt idx="18">
                  <c:v>119</c:v>
                </c:pt>
                <c:pt idx="19">
                  <c:v>120</c:v>
                </c:pt>
                <c:pt idx="20">
                  <c:v>121</c:v>
                </c:pt>
              </c:strCache>
            </c:strRef>
          </c:cat>
          <c:val>
            <c:numRef>
              <c:f>Convergence!$B$2:$B$21</c:f>
              <c:numCache>
                <c:formatCode>General</c:formatCode>
                <c:ptCount val="20"/>
                <c:pt idx="0">
                  <c:v>8.7404341559217453</c:v>
                </c:pt>
                <c:pt idx="1">
                  <c:v>8.3991358302922361</c:v>
                </c:pt>
                <c:pt idx="2">
                  <c:v>8.0578375046627251</c:v>
                </c:pt>
                <c:pt idx="3">
                  <c:v>7.716539179033215</c:v>
                </c:pt>
                <c:pt idx="4">
                  <c:v>7.3752408534037048</c:v>
                </c:pt>
                <c:pt idx="5">
                  <c:v>7.0339425277741938</c:v>
                </c:pt>
                <c:pt idx="6">
                  <c:v>6.6926442021446846</c:v>
                </c:pt>
                <c:pt idx="7">
                  <c:v>6.3513458765151736</c:v>
                </c:pt>
                <c:pt idx="8">
                  <c:v>6.0100475508856643</c:v>
                </c:pt>
                <c:pt idx="9">
                  <c:v>5.6687492252561542</c:v>
                </c:pt>
                <c:pt idx="10">
                  <c:v>5.3274508996266441</c:v>
                </c:pt>
                <c:pt idx="11">
                  <c:v>4.986152573997134</c:v>
                </c:pt>
                <c:pt idx="12">
                  <c:v>4.6448542483676238</c:v>
                </c:pt>
                <c:pt idx="13">
                  <c:v>4.3035559227381137</c:v>
                </c:pt>
                <c:pt idx="14">
                  <c:v>4.0979284719734714</c:v>
                </c:pt>
                <c:pt idx="15">
                  <c:v>3.9292950911566442</c:v>
                </c:pt>
                <c:pt idx="16">
                  <c:v>3.7606617103398166</c:v>
                </c:pt>
                <c:pt idx="17">
                  <c:v>3.5920283295229889</c:v>
                </c:pt>
                <c:pt idx="18">
                  <c:v>3.4233949487061608</c:v>
                </c:pt>
                <c:pt idx="19">
                  <c:v>3.2547615678893331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8D-CD47-ADB8-1B8612C303D1}"/>
            </c:ext>
          </c:extLst>
        </c:ser>
        <c:ser>
          <c:idx val="2"/>
          <c:order val="2"/>
          <c:tx>
            <c:strRef>
              <c:f>Convergence!$C$1</c:f>
              <c:strCache>
                <c:ptCount val="1"/>
                <c:pt idx="0">
                  <c:v>Prix B_S</c:v>
                </c:pt>
              </c:strCache>
            </c:strRef>
          </c:tx>
          <c:marker>
            <c:symbol val="none"/>
          </c:marker>
          <c:cat>
            <c:strRef>
              <c:f>Convergence!$A$1:$A$21</c:f>
              <c:strCache>
                <c:ptCount val="21"/>
                <c:pt idx="0">
                  <c:v>Strike de l'option</c:v>
                </c:pt>
                <c:pt idx="1">
                  <c:v>102</c:v>
                </c:pt>
                <c:pt idx="2">
                  <c:v>103</c:v>
                </c:pt>
                <c:pt idx="3">
                  <c:v>104</c:v>
                </c:pt>
                <c:pt idx="4">
                  <c:v>105</c:v>
                </c:pt>
                <c:pt idx="5">
                  <c:v>106</c:v>
                </c:pt>
                <c:pt idx="6">
                  <c:v>107</c:v>
                </c:pt>
                <c:pt idx="7">
                  <c:v>108</c:v>
                </c:pt>
                <c:pt idx="8">
                  <c:v>109</c:v>
                </c:pt>
                <c:pt idx="9">
                  <c:v>110</c:v>
                </c:pt>
                <c:pt idx="10">
                  <c:v>111</c:v>
                </c:pt>
                <c:pt idx="11">
                  <c:v>112</c:v>
                </c:pt>
                <c:pt idx="12">
                  <c:v>113</c:v>
                </c:pt>
                <c:pt idx="13">
                  <c:v>114</c:v>
                </c:pt>
                <c:pt idx="14">
                  <c:v>115</c:v>
                </c:pt>
                <c:pt idx="15">
                  <c:v>116</c:v>
                </c:pt>
                <c:pt idx="16">
                  <c:v>117</c:v>
                </c:pt>
                <c:pt idx="17">
                  <c:v>118</c:v>
                </c:pt>
                <c:pt idx="18">
                  <c:v>119</c:v>
                </c:pt>
                <c:pt idx="19">
                  <c:v>120</c:v>
                </c:pt>
                <c:pt idx="20">
                  <c:v>121</c:v>
                </c:pt>
              </c:strCache>
            </c:strRef>
          </c:cat>
          <c:val>
            <c:numRef>
              <c:f>Convergence!$C$2:$C$21</c:f>
              <c:numCache>
                <c:formatCode>General</c:formatCode>
                <c:ptCount val="20"/>
                <c:pt idx="0">
                  <c:v>8.9400353091433065</c:v>
                </c:pt>
                <c:pt idx="1">
                  <c:v>8.5066433177285425</c:v>
                </c:pt>
                <c:pt idx="2">
                  <c:v>8.08970403331484</c:v>
                </c:pt>
                <c:pt idx="3">
                  <c:v>7.6889275880933248</c:v>
                </c:pt>
                <c:pt idx="4">
                  <c:v>7.3040038782997438</c:v>
                </c:pt>
                <c:pt idx="5">
                  <c:v>6.9346046615199812</c:v>
                </c:pt>
                <c:pt idx="6">
                  <c:v>6.580385626483519</c:v>
                </c:pt>
                <c:pt idx="7">
                  <c:v>6.2409884219498437</c:v>
                </c:pt>
                <c:pt idx="8">
                  <c:v>5.9160426328675451</c:v>
                </c:pt>
                <c:pt idx="9">
                  <c:v>5.6051676935331969</c:v>
                </c:pt>
                <c:pt idx="10">
                  <c:v>5.3079747289805246</c:v>
                </c:pt>
                <c:pt idx="11">
                  <c:v>5.0240683172741898</c:v>
                </c:pt>
                <c:pt idx="12">
                  <c:v>4.7530481667562432</c:v>
                </c:pt>
                <c:pt idx="13">
                  <c:v>4.4945107035866618</c:v>
                </c:pt>
                <c:pt idx="14">
                  <c:v>4.2480505661258716</c:v>
                </c:pt>
                <c:pt idx="15">
                  <c:v>4.0132620038221827</c:v>
                </c:pt>
                <c:pt idx="16">
                  <c:v>3.7897401792878367</c:v>
                </c:pt>
                <c:pt idx="17">
                  <c:v>3.5770823731720887</c:v>
                </c:pt>
                <c:pt idx="18">
                  <c:v>3.374889092270339</c:v>
                </c:pt>
                <c:pt idx="19">
                  <c:v>3.1827650820437725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8D-CD47-ADB8-1B8612C303D1}"/>
            </c:ext>
          </c:extLst>
        </c:ser>
        <c:ser>
          <c:idx val="3"/>
          <c:order val="3"/>
          <c:tx>
            <c:strRef>
              <c:f>Convergence!$D$1</c:f>
              <c:strCache>
                <c:ptCount val="1"/>
                <c:pt idx="0">
                  <c:v>difference</c:v>
                </c:pt>
              </c:strCache>
            </c:strRef>
          </c:tx>
          <c:marker>
            <c:symbol val="none"/>
          </c:marker>
          <c:cat>
            <c:strRef>
              <c:f>Convergence!$A$1:$A$21</c:f>
              <c:strCache>
                <c:ptCount val="21"/>
                <c:pt idx="0">
                  <c:v>Strike de l'option</c:v>
                </c:pt>
                <c:pt idx="1">
                  <c:v>102</c:v>
                </c:pt>
                <c:pt idx="2">
                  <c:v>103</c:v>
                </c:pt>
                <c:pt idx="3">
                  <c:v>104</c:v>
                </c:pt>
                <c:pt idx="4">
                  <c:v>105</c:v>
                </c:pt>
                <c:pt idx="5">
                  <c:v>106</c:v>
                </c:pt>
                <c:pt idx="6">
                  <c:v>107</c:v>
                </c:pt>
                <c:pt idx="7">
                  <c:v>108</c:v>
                </c:pt>
                <c:pt idx="8">
                  <c:v>109</c:v>
                </c:pt>
                <c:pt idx="9">
                  <c:v>110</c:v>
                </c:pt>
                <c:pt idx="10">
                  <c:v>111</c:v>
                </c:pt>
                <c:pt idx="11">
                  <c:v>112</c:v>
                </c:pt>
                <c:pt idx="12">
                  <c:v>113</c:v>
                </c:pt>
                <c:pt idx="13">
                  <c:v>114</c:v>
                </c:pt>
                <c:pt idx="14">
                  <c:v>115</c:v>
                </c:pt>
                <c:pt idx="15">
                  <c:v>116</c:v>
                </c:pt>
                <c:pt idx="16">
                  <c:v>117</c:v>
                </c:pt>
                <c:pt idx="17">
                  <c:v>118</c:v>
                </c:pt>
                <c:pt idx="18">
                  <c:v>119</c:v>
                </c:pt>
                <c:pt idx="19">
                  <c:v>120</c:v>
                </c:pt>
                <c:pt idx="20">
                  <c:v>121</c:v>
                </c:pt>
              </c:strCache>
            </c:strRef>
          </c:cat>
          <c:val>
            <c:numRef>
              <c:f>Convergence!$D$2:$D$21</c:f>
              <c:numCache>
                <c:formatCode>General</c:formatCode>
                <c:ptCount val="20"/>
                <c:pt idx="0">
                  <c:v>-0.19960115322156113</c:v>
                </c:pt>
                <c:pt idx="1">
                  <c:v>-0.10750748743630645</c:v>
                </c:pt>
                <c:pt idx="2">
                  <c:v>-3.1866528652114923E-2</c:v>
                </c:pt>
                <c:pt idx="3">
                  <c:v>2.7611590939890185E-2</c:v>
                </c:pt>
                <c:pt idx="4">
                  <c:v>7.1236975103960987E-2</c:v>
                </c:pt>
                <c:pt idx="5">
                  <c:v>9.9337866254212592E-2</c:v>
                </c:pt>
                <c:pt idx="6">
                  <c:v>0.11225857566116559</c:v>
                </c:pt>
                <c:pt idx="7">
                  <c:v>0.11035745456532986</c:v>
                </c:pt>
                <c:pt idx="8">
                  <c:v>9.4004918018119277E-2</c:v>
                </c:pt>
                <c:pt idx="9">
                  <c:v>6.358153172295733E-2</c:v>
                </c:pt>
                <c:pt idx="10">
                  <c:v>1.9476170646119506E-2</c:v>
                </c:pt>
                <c:pt idx="11">
                  <c:v>-3.7915743277055824E-2</c:v>
                </c:pt>
                <c:pt idx="12">
                  <c:v>-0.10819391838861936</c:v>
                </c:pt>
                <c:pt idx="13">
                  <c:v>-0.19095478084854811</c:v>
                </c:pt>
                <c:pt idx="14">
                  <c:v>-0.15012209415240019</c:v>
                </c:pt>
                <c:pt idx="15">
                  <c:v>-8.3966912665538462E-2</c:v>
                </c:pt>
                <c:pt idx="16">
                  <c:v>-2.9078468948020131E-2</c:v>
                </c:pt>
                <c:pt idx="17">
                  <c:v>1.4945956350900236E-2</c:v>
                </c:pt>
                <c:pt idx="18">
                  <c:v>4.8505856435821837E-2</c:v>
                </c:pt>
                <c:pt idx="19">
                  <c:v>7.199648584556062E-2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8D-CD47-ADB8-1B8612C30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8753183"/>
        <c:axId val="1239119375"/>
      </c:lineChart>
      <c:catAx>
        <c:axId val="1238753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9119375"/>
        <c:crosses val="autoZero"/>
        <c:auto val="1"/>
        <c:lblAlgn val="ctr"/>
        <c:lblOffset val="100"/>
        <c:noMultiLvlLbl val="0"/>
      </c:catAx>
      <c:valAx>
        <c:axId val="1239119375"/>
        <c:scaling>
          <c:orientation val="minMax"/>
          <c:max val="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87531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15</xdr:row>
          <xdr:rowOff>50800</xdr:rowOff>
        </xdr:from>
        <xdr:to>
          <xdr:col>9</xdr:col>
          <xdr:colOff>38100</xdr:colOff>
          <xdr:row>17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4</xdr:row>
      <xdr:rowOff>139700</xdr:rowOff>
    </xdr:from>
    <xdr:to>
      <xdr:col>6</xdr:col>
      <xdr:colOff>266700</xdr:colOff>
      <xdr:row>18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F83B70-97A3-E70D-BF39-5E29A31ACB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0000"/>
  </sheetPr>
  <dimension ref="C5:M149"/>
  <sheetViews>
    <sheetView showGridLines="0" tabSelected="1" topLeftCell="C1" zoomScale="93" zoomScaleNormal="80" workbookViewId="0">
      <selection activeCell="I26" sqref="I26"/>
    </sheetView>
  </sheetViews>
  <sheetFormatPr baseColWidth="10" defaultColWidth="10.5" defaultRowHeight="16" x14ac:dyDescent="0.2"/>
  <cols>
    <col min="1" max="4" width="10.5" style="1"/>
    <col min="5" max="5" width="18" style="1" customWidth="1"/>
    <col min="6" max="7" width="10.5" style="1"/>
    <col min="8" max="8" width="16" style="1" customWidth="1"/>
    <col min="9" max="9" width="12" style="1" customWidth="1"/>
    <col min="10" max="12" width="10.5" style="1"/>
    <col min="13" max="13" width="12.83203125" style="1" bestFit="1" customWidth="1"/>
    <col min="14" max="16384" width="10.5" style="1"/>
  </cols>
  <sheetData>
    <row r="5" spans="4:13" ht="17" thickBot="1" x14ac:dyDescent="0.25"/>
    <row r="6" spans="4:13" ht="17" thickBot="1" x14ac:dyDescent="0.25">
      <c r="D6" s="24" t="s">
        <v>0</v>
      </c>
      <c r="E6" s="25"/>
      <c r="F6" s="9"/>
      <c r="H6" s="24" t="s">
        <v>12</v>
      </c>
      <c r="I6" s="25"/>
      <c r="L6" s="24" t="s">
        <v>4</v>
      </c>
      <c r="M6" s="25"/>
    </row>
    <row r="7" spans="4:13" x14ac:dyDescent="0.2">
      <c r="D7" s="11" t="s">
        <v>18</v>
      </c>
      <c r="E7" s="15">
        <v>100</v>
      </c>
      <c r="F7" s="8"/>
      <c r="H7" s="14" t="s">
        <v>13</v>
      </c>
      <c r="I7" s="5">
        <v>10</v>
      </c>
      <c r="L7" s="21" t="s">
        <v>5</v>
      </c>
      <c r="M7" s="5">
        <v>9.2270860684827802</v>
      </c>
    </row>
    <row r="8" spans="4:13" x14ac:dyDescent="0.2">
      <c r="D8" s="12" t="s">
        <v>19</v>
      </c>
      <c r="E8" s="16">
        <v>0.02</v>
      </c>
      <c r="H8" s="12" t="s">
        <v>14</v>
      </c>
      <c r="I8" s="6">
        <v>45170</v>
      </c>
      <c r="L8" s="22" t="s">
        <v>6</v>
      </c>
      <c r="M8" s="3">
        <v>9.3911983030088848</v>
      </c>
    </row>
    <row r="9" spans="4:13" ht="17" thickBot="1" x14ac:dyDescent="0.25">
      <c r="D9" s="12" t="s">
        <v>20</v>
      </c>
      <c r="E9" s="16">
        <v>0.25</v>
      </c>
      <c r="H9" s="12" t="s">
        <v>15</v>
      </c>
      <c r="I9" s="6">
        <v>45352</v>
      </c>
      <c r="L9" s="23" t="s">
        <v>7</v>
      </c>
      <c r="M9" s="4">
        <v>9.390147529570541</v>
      </c>
    </row>
    <row r="10" spans="4:13" ht="17" thickBot="1" x14ac:dyDescent="0.25">
      <c r="D10" s="13" t="s">
        <v>21</v>
      </c>
      <c r="E10" s="17">
        <v>0</v>
      </c>
      <c r="H10" s="13" t="s">
        <v>16</v>
      </c>
      <c r="I10" s="4">
        <v>2.734375E-2</v>
      </c>
      <c r="J10" s="1" t="s">
        <v>17</v>
      </c>
    </row>
    <row r="14" spans="4:13" ht="17" thickBot="1" x14ac:dyDescent="0.25"/>
    <row r="15" spans="4:13" ht="17" thickBot="1" x14ac:dyDescent="0.25">
      <c r="D15" s="24" t="s">
        <v>1</v>
      </c>
      <c r="E15" s="25"/>
      <c r="F15" s="10"/>
      <c r="L15" s="24" t="s">
        <v>8</v>
      </c>
      <c r="M15" s="25"/>
    </row>
    <row r="16" spans="4:13" x14ac:dyDescent="0.2">
      <c r="D16" s="14" t="s">
        <v>22</v>
      </c>
      <c r="E16" s="2">
        <v>101</v>
      </c>
      <c r="L16" s="14" t="s">
        <v>9</v>
      </c>
      <c r="M16" s="5">
        <v>0.65296887119820057</v>
      </c>
    </row>
    <row r="17" spans="4:13" x14ac:dyDescent="0.2">
      <c r="D17" s="12" t="s">
        <v>23</v>
      </c>
      <c r="E17" s="18">
        <v>45474</v>
      </c>
      <c r="F17" s="7"/>
      <c r="L17" s="12" t="s">
        <v>10</v>
      </c>
      <c r="M17" s="3">
        <v>5.0260183208776135E-2</v>
      </c>
    </row>
    <row r="18" spans="4:13" ht="17" thickBot="1" x14ac:dyDescent="0.25">
      <c r="D18" s="12" t="s">
        <v>24</v>
      </c>
      <c r="E18" s="19" t="s">
        <v>2</v>
      </c>
      <c r="L18" s="13" t="s">
        <v>11</v>
      </c>
      <c r="M18" s="4">
        <v>37.816379180700288</v>
      </c>
    </row>
    <row r="19" spans="4:13" ht="17" thickBot="1" x14ac:dyDescent="0.25">
      <c r="D19" s="13" t="s">
        <v>25</v>
      </c>
      <c r="E19" s="20" t="s">
        <v>3</v>
      </c>
    </row>
    <row r="148" spans="3:4" x14ac:dyDescent="0.2">
      <c r="C148" s="1" t="s">
        <v>2</v>
      </c>
      <c r="D148" s="1" t="s">
        <v>26</v>
      </c>
    </row>
    <row r="149" spans="3:4" x14ac:dyDescent="0.2">
      <c r="C149" s="1" t="s">
        <v>3</v>
      </c>
      <c r="D149" s="1" t="s">
        <v>27</v>
      </c>
    </row>
  </sheetData>
  <mergeCells count="5">
    <mergeCell ref="D6:E6"/>
    <mergeCell ref="D15:E15"/>
    <mergeCell ref="L6:M6"/>
    <mergeCell ref="L15:M15"/>
    <mergeCell ref="H6:I6"/>
  </mergeCells>
  <dataValidations count="1">
    <dataValidation type="list" allowBlank="1" showInputMessage="1" showErrorMessage="1" sqref="E18:F19" xr:uid="{00000000-0002-0000-0000-000000000000}">
      <formula1>$C$148:$C$149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ion_Arbre">
                <anchor moveWithCells="1" sizeWithCells="1">
                  <from>
                    <xdr:col>7</xdr:col>
                    <xdr:colOff>228600</xdr:colOff>
                    <xdr:row>15</xdr:row>
                    <xdr:rowOff>50800</xdr:rowOff>
                  </from>
                  <to>
                    <xdr:col>9</xdr:col>
                    <xdr:colOff>38100</xdr:colOff>
                    <xdr:row>17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1">
    <tabColor rgb="FF00B050"/>
  </sheetPr>
  <dimension ref="E2:O22"/>
  <sheetViews>
    <sheetView topLeftCell="E1" zoomScale="108" zoomScaleNormal="115" workbookViewId="0"/>
  </sheetViews>
  <sheetFormatPr baseColWidth="10" defaultRowHeight="16" x14ac:dyDescent="0.2"/>
  <sheetData>
    <row r="2" spans="5:15" x14ac:dyDescent="0.2">
      <c r="O2">
        <v>354.77550443175278</v>
      </c>
    </row>
    <row r="3" spans="5:15" x14ac:dyDescent="0.2">
      <c r="N3">
        <v>312.57789602625689</v>
      </c>
      <c r="O3">
        <v>313.09900762825731</v>
      </c>
    </row>
    <row r="4" spans="5:15" x14ac:dyDescent="0.2">
      <c r="M4">
        <v>275.39934370806247</v>
      </c>
      <c r="N4">
        <v>275.85847340025759</v>
      </c>
      <c r="O4">
        <v>276.31836852664526</v>
      </c>
    </row>
    <row r="5" spans="5:15" x14ac:dyDescent="0.2">
      <c r="L5">
        <v>242.64287231769092</v>
      </c>
      <c r="M5">
        <v>243.04739233498864</v>
      </c>
      <c r="N5">
        <v>243.45258674442007</v>
      </c>
      <c r="O5">
        <v>243.85845667029244</v>
      </c>
    </row>
    <row r="6" spans="5:15" x14ac:dyDescent="0.2">
      <c r="K6">
        <v>213.78251194741554</v>
      </c>
      <c r="L6">
        <v>214.13891765842973</v>
      </c>
      <c r="M6">
        <v>214.4959175482179</v>
      </c>
      <c r="N6">
        <v>214.85351260736019</v>
      </c>
      <c r="O6">
        <v>215.21170382808816</v>
      </c>
    </row>
    <row r="7" spans="5:15" x14ac:dyDescent="0.2">
      <c r="J7">
        <v>188.3548524545499</v>
      </c>
      <c r="K7">
        <v>188.66886665758514</v>
      </c>
      <c r="L7">
        <v>188.98340436674948</v>
      </c>
      <c r="M7">
        <v>189.29846645480177</v>
      </c>
      <c r="N7">
        <v>189.61405379595587</v>
      </c>
      <c r="O7">
        <v>189.93016726588303</v>
      </c>
    </row>
    <row r="8" spans="5:15" x14ac:dyDescent="0.2">
      <c r="I8">
        <v>165.9516024954452</v>
      </c>
      <c r="J8">
        <v>166.22826730933735</v>
      </c>
      <c r="K8">
        <v>166.50539336263969</v>
      </c>
      <c r="L8">
        <v>166.78298142430353</v>
      </c>
      <c r="M8">
        <v>167.06103226456224</v>
      </c>
      <c r="N8">
        <v>167.33954665493329</v>
      </c>
      <c r="O8">
        <v>167.61852536822028</v>
      </c>
    </row>
    <row r="9" spans="5:15" x14ac:dyDescent="0.2">
      <c r="H9">
        <v>146.21303360077567</v>
      </c>
      <c r="I9">
        <v>146.45679142607827</v>
      </c>
      <c r="J9">
        <v>146.70095563018259</v>
      </c>
      <c r="K9">
        <v>146.94552689057971</v>
      </c>
      <c r="L9">
        <v>147.19050588589002</v>
      </c>
      <c r="M9">
        <v>147.43589329586538</v>
      </c>
      <c r="N9">
        <v>147.68168980139086</v>
      </c>
      <c r="O9">
        <v>147.9278960844866</v>
      </c>
    </row>
    <row r="10" spans="5:15" x14ac:dyDescent="0.2">
      <c r="G10">
        <v>128.82220402378044</v>
      </c>
      <c r="H10">
        <v>129.03696887428799</v>
      </c>
      <c r="I10">
        <v>129.252091768204</v>
      </c>
      <c r="J10">
        <v>129.46757330243747</v>
      </c>
      <c r="K10">
        <v>129.68341407489265</v>
      </c>
      <c r="L10">
        <v>129.89961468447049</v>
      </c>
      <c r="M10">
        <v>130.1161757310704</v>
      </c>
      <c r="N10">
        <v>130.33309781559194</v>
      </c>
      <c r="O10">
        <v>130.55038153993641</v>
      </c>
    </row>
    <row r="11" spans="5:15" x14ac:dyDescent="0.2">
      <c r="F11">
        <v>113.49986961392531</v>
      </c>
      <c r="G11">
        <v>113.68908996390286</v>
      </c>
      <c r="H11">
        <v>113.87862577099034</v>
      </c>
      <c r="I11">
        <v>114.06847756109941</v>
      </c>
      <c r="J11">
        <v>114.25864586101849</v>
      </c>
      <c r="K11">
        <v>114.44913119841425</v>
      </c>
      <c r="L11">
        <v>114.63993410183305</v>
      </c>
      <c r="M11">
        <v>114.83105510070239</v>
      </c>
      <c r="N11">
        <v>115.02249472533242</v>
      </c>
      <c r="O11">
        <v>115.21425350691739</v>
      </c>
    </row>
    <row r="12" spans="5:15" x14ac:dyDescent="0.2">
      <c r="E12">
        <v>100</v>
      </c>
      <c r="F12">
        <v>100.16671415625515</v>
      </c>
      <c r="G12">
        <v>100.33370624860926</v>
      </c>
      <c r="H12">
        <v>100.50097674042115</v>
      </c>
      <c r="I12">
        <v>100.66852609582213</v>
      </c>
      <c r="J12">
        <v>100.83635477971728</v>
      </c>
      <c r="K12">
        <v>101.00446325778674</v>
      </c>
      <c r="L12">
        <v>101.17285199648701</v>
      </c>
      <c r="M12">
        <v>101.34152146305223</v>
      </c>
      <c r="N12">
        <v>101.5104721254955</v>
      </c>
      <c r="O12">
        <v>101.67970445261014</v>
      </c>
    </row>
    <row r="13" spans="5:15" x14ac:dyDescent="0.2">
      <c r="F13">
        <v>88.399842739818723</v>
      </c>
      <c r="G13">
        <v>88.547217791773278</v>
      </c>
      <c r="H13">
        <v>88.694838538802244</v>
      </c>
      <c r="I13">
        <v>88.842705390514084</v>
      </c>
      <c r="J13">
        <v>88.990818757200131</v>
      </c>
      <c r="K13">
        <v>89.139179049835747</v>
      </c>
      <c r="L13">
        <v>89.287786680081467</v>
      </c>
      <c r="M13">
        <v>89.436642060284058</v>
      </c>
      <c r="N13">
        <v>89.585745603477804</v>
      </c>
      <c r="O13">
        <v>89.735097723385536</v>
      </c>
    </row>
    <row r="14" spans="5:15" x14ac:dyDescent="0.2">
      <c r="G14">
        <v>78.14532196424679</v>
      </c>
      <c r="H14">
        <v>78.275601278412353</v>
      </c>
      <c r="I14">
        <v>78.406097786637318</v>
      </c>
      <c r="J14">
        <v>78.536811851014903</v>
      </c>
      <c r="K14">
        <v>78.667743834242017</v>
      </c>
      <c r="L14">
        <v>78.798894099620242</v>
      </c>
      <c r="M14">
        <v>78.930263011056809</v>
      </c>
      <c r="N14">
        <v>79.061850933065671</v>
      </c>
      <c r="O14">
        <v>79.193658230768449</v>
      </c>
    </row>
    <row r="15" spans="5:15" x14ac:dyDescent="0.2">
      <c r="H15">
        <v>69.08034172491918</v>
      </c>
      <c r="I15">
        <v>69.195508433764061</v>
      </c>
      <c r="J15">
        <v>69.310867141815876</v>
      </c>
      <c r="K15">
        <v>69.426418169164478</v>
      </c>
      <c r="L15">
        <v>69.54216183643338</v>
      </c>
      <c r="M15">
        <v>69.658098464780579</v>
      </c>
      <c r="N15">
        <v>69.774228375899526</v>
      </c>
      <c r="O15">
        <v>69.890551892019957</v>
      </c>
    </row>
    <row r="16" spans="5:15" x14ac:dyDescent="0.2">
      <c r="I16">
        <v>61.066913448957933</v>
      </c>
      <c r="J16">
        <v>61.16872063846543</v>
      </c>
      <c r="K16">
        <v>61.270697554969914</v>
      </c>
      <c r="L16">
        <v>61.372844481430334</v>
      </c>
      <c r="M16">
        <v>61.475161701277329</v>
      </c>
      <c r="N16">
        <v>61.577649498414111</v>
      </c>
      <c r="O16">
        <v>61.680308157217155</v>
      </c>
    </row>
    <row r="17" spans="10:15" x14ac:dyDescent="0.2">
      <c r="J17">
        <v>53.983055454940022</v>
      </c>
      <c r="K17">
        <v>54.073052850362473</v>
      </c>
      <c r="L17">
        <v>54.163200284183361</v>
      </c>
      <c r="M17">
        <v>54.253498006537917</v>
      </c>
      <c r="N17">
        <v>54.343946267978431</v>
      </c>
      <c r="O17">
        <v>54.43454531947485</v>
      </c>
    </row>
    <row r="18" spans="10:15" x14ac:dyDescent="0.2">
      <c r="K18">
        <v>47.720936128316104</v>
      </c>
      <c r="L18">
        <v>47.800493684339493</v>
      </c>
      <c r="M18">
        <v>47.880183874071129</v>
      </c>
      <c r="N18">
        <v>47.960006918630206</v>
      </c>
      <c r="O18">
        <v>48.039963039504521</v>
      </c>
    </row>
    <row r="19" spans="10:15" x14ac:dyDescent="0.2">
      <c r="L19">
        <v>42.185232491400775</v>
      </c>
      <c r="M19">
        <v>42.255561245813084</v>
      </c>
      <c r="N19">
        <v>42.326007248214921</v>
      </c>
      <c r="O19">
        <v>42.396570694075287</v>
      </c>
    </row>
    <row r="20" spans="10:15" x14ac:dyDescent="0.2">
      <c r="M20">
        <v>37.291679181825188</v>
      </c>
      <c r="N20">
        <v>37.353849690126552</v>
      </c>
      <c r="O20">
        <v>37.416123845466274</v>
      </c>
    </row>
    <row r="21" spans="10:15" x14ac:dyDescent="0.2">
      <c r="N21">
        <v>32.965785751771186</v>
      </c>
      <c r="O21">
        <v>33.020744383340144</v>
      </c>
    </row>
    <row r="22" spans="10:15" x14ac:dyDescent="0.2">
      <c r="O22">
        <v>29.141702762511304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tabColor rgb="FFFFFF00"/>
  </sheetPr>
  <dimension ref="A1:D21"/>
  <sheetViews>
    <sheetView zoomScale="125" workbookViewId="0">
      <selection activeCell="G16" sqref="G16"/>
    </sheetView>
  </sheetViews>
  <sheetFormatPr baseColWidth="10" defaultRowHeight="16" x14ac:dyDescent="0.2"/>
  <cols>
    <col min="1" max="1" width="17.33203125" customWidth="1"/>
    <col min="2" max="2" width="15" customWidth="1"/>
  </cols>
  <sheetData>
    <row r="1" spans="1:4" x14ac:dyDescent="0.2">
      <c r="A1" t="s">
        <v>28</v>
      </c>
      <c r="B1" t="s">
        <v>29</v>
      </c>
      <c r="C1" t="s">
        <v>30</v>
      </c>
      <c r="D1" t="s">
        <v>31</v>
      </c>
    </row>
    <row r="2" spans="1:4" x14ac:dyDescent="0.2">
      <c r="A2">
        <v>102</v>
      </c>
      <c r="B2">
        <v>8.7404341559217453</v>
      </c>
      <c r="C2">
        <v>8.9400353091433065</v>
      </c>
      <c r="D2">
        <v>-0.19960115322156113</v>
      </c>
    </row>
    <row r="3" spans="1:4" x14ac:dyDescent="0.2">
      <c r="A3">
        <v>103</v>
      </c>
      <c r="B3">
        <v>8.3991358302922361</v>
      </c>
      <c r="C3">
        <v>8.5066433177285425</v>
      </c>
      <c r="D3">
        <v>-0.10750748743630645</v>
      </c>
    </row>
    <row r="4" spans="1:4" x14ac:dyDescent="0.2">
      <c r="A4">
        <v>104</v>
      </c>
      <c r="B4">
        <v>8.0578375046627251</v>
      </c>
      <c r="C4">
        <v>8.08970403331484</v>
      </c>
      <c r="D4">
        <v>-3.1866528652114923E-2</v>
      </c>
    </row>
    <row r="5" spans="1:4" x14ac:dyDescent="0.2">
      <c r="A5">
        <v>105</v>
      </c>
      <c r="B5">
        <v>7.716539179033215</v>
      </c>
      <c r="C5">
        <v>7.6889275880933248</v>
      </c>
      <c r="D5">
        <v>2.7611590939890185E-2</v>
      </c>
    </row>
    <row r="6" spans="1:4" x14ac:dyDescent="0.2">
      <c r="A6">
        <v>106</v>
      </c>
      <c r="B6">
        <v>7.3752408534037048</v>
      </c>
      <c r="C6">
        <v>7.3040038782997438</v>
      </c>
      <c r="D6">
        <v>7.1236975103960987E-2</v>
      </c>
    </row>
    <row r="7" spans="1:4" x14ac:dyDescent="0.2">
      <c r="A7">
        <v>107</v>
      </c>
      <c r="B7">
        <v>7.0339425277741938</v>
      </c>
      <c r="C7">
        <v>6.9346046615199812</v>
      </c>
      <c r="D7">
        <v>9.9337866254212592E-2</v>
      </c>
    </row>
    <row r="8" spans="1:4" x14ac:dyDescent="0.2">
      <c r="A8">
        <v>108</v>
      </c>
      <c r="B8">
        <v>6.6926442021446846</v>
      </c>
      <c r="C8">
        <v>6.580385626483519</v>
      </c>
      <c r="D8">
        <v>0.11225857566116559</v>
      </c>
    </row>
    <row r="9" spans="1:4" x14ac:dyDescent="0.2">
      <c r="A9">
        <v>109</v>
      </c>
      <c r="B9">
        <v>6.3513458765151736</v>
      </c>
      <c r="C9">
        <v>6.2409884219498437</v>
      </c>
      <c r="D9">
        <v>0.11035745456532986</v>
      </c>
    </row>
    <row r="10" spans="1:4" x14ac:dyDescent="0.2">
      <c r="A10">
        <v>110</v>
      </c>
      <c r="B10">
        <v>6.0100475508856643</v>
      </c>
      <c r="C10">
        <v>5.9160426328675451</v>
      </c>
      <c r="D10">
        <v>9.4004918018119277E-2</v>
      </c>
    </row>
    <row r="11" spans="1:4" x14ac:dyDescent="0.2">
      <c r="A11">
        <v>111</v>
      </c>
      <c r="B11">
        <v>5.6687492252561542</v>
      </c>
      <c r="C11">
        <v>5.6051676935331969</v>
      </c>
      <c r="D11">
        <v>6.358153172295733E-2</v>
      </c>
    </row>
    <row r="12" spans="1:4" x14ac:dyDescent="0.2">
      <c r="A12">
        <v>112</v>
      </c>
      <c r="B12">
        <v>5.3274508996266441</v>
      </c>
      <c r="C12">
        <v>5.3079747289805246</v>
      </c>
      <c r="D12">
        <v>1.9476170646119506E-2</v>
      </c>
    </row>
    <row r="13" spans="1:4" x14ac:dyDescent="0.2">
      <c r="A13">
        <v>113</v>
      </c>
      <c r="B13">
        <v>4.986152573997134</v>
      </c>
      <c r="C13">
        <v>5.0240683172741898</v>
      </c>
      <c r="D13">
        <v>-3.7915743277055824E-2</v>
      </c>
    </row>
    <row r="14" spans="1:4" x14ac:dyDescent="0.2">
      <c r="A14">
        <v>114</v>
      </c>
      <c r="B14">
        <v>4.6448542483676238</v>
      </c>
      <c r="C14">
        <v>4.7530481667562432</v>
      </c>
      <c r="D14">
        <v>-0.10819391838861936</v>
      </c>
    </row>
    <row r="15" spans="1:4" x14ac:dyDescent="0.2">
      <c r="A15">
        <v>115</v>
      </c>
      <c r="B15">
        <v>4.3035559227381137</v>
      </c>
      <c r="C15">
        <v>4.4945107035866618</v>
      </c>
      <c r="D15">
        <v>-0.19095478084854811</v>
      </c>
    </row>
    <row r="16" spans="1:4" x14ac:dyDescent="0.2">
      <c r="A16">
        <v>116</v>
      </c>
      <c r="B16">
        <v>4.0979284719734714</v>
      </c>
      <c r="C16">
        <v>4.2480505661258716</v>
      </c>
      <c r="D16">
        <v>-0.15012209415240019</v>
      </c>
    </row>
    <row r="17" spans="1:4" x14ac:dyDescent="0.2">
      <c r="A17">
        <v>117</v>
      </c>
      <c r="B17">
        <v>3.9292950911566442</v>
      </c>
      <c r="C17">
        <v>4.0132620038221827</v>
      </c>
      <c r="D17">
        <v>-8.3966912665538462E-2</v>
      </c>
    </row>
    <row r="18" spans="1:4" x14ac:dyDescent="0.2">
      <c r="A18">
        <v>118</v>
      </c>
      <c r="B18">
        <v>3.7606617103398166</v>
      </c>
      <c r="C18">
        <v>3.7897401792878367</v>
      </c>
      <c r="D18">
        <v>-2.9078468948020131E-2</v>
      </c>
    </row>
    <row r="19" spans="1:4" x14ac:dyDescent="0.2">
      <c r="A19">
        <v>119</v>
      </c>
      <c r="B19">
        <v>3.5920283295229889</v>
      </c>
      <c r="C19">
        <v>3.5770823731720887</v>
      </c>
      <c r="D19">
        <v>1.4945956350900236E-2</v>
      </c>
    </row>
    <row r="20" spans="1:4" x14ac:dyDescent="0.2">
      <c r="A20">
        <v>120</v>
      </c>
      <c r="B20">
        <v>3.4233949487061608</v>
      </c>
      <c r="C20">
        <v>3.374889092270339</v>
      </c>
      <c r="D20">
        <v>4.8505856435821837E-2</v>
      </c>
    </row>
    <row r="21" spans="1:4" x14ac:dyDescent="0.2">
      <c r="A21">
        <v>121</v>
      </c>
      <c r="B21">
        <v>3.2547615678893331</v>
      </c>
      <c r="C21">
        <v>3.1827650820437725</v>
      </c>
      <c r="D21">
        <v>7.199648584556062E-2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24</vt:i4>
      </vt:variant>
    </vt:vector>
  </HeadingPairs>
  <TitlesOfParts>
    <vt:vector size="27" baseType="lpstr">
      <vt:lpstr>Pricing</vt:lpstr>
      <vt:lpstr>Arbre</vt:lpstr>
      <vt:lpstr>Convergence</vt:lpstr>
      <vt:lpstr>bs_price</vt:lpstr>
      <vt:lpstr>diff</vt:lpstr>
      <vt:lpstr>div_date</vt:lpstr>
      <vt:lpstr>n_steps</vt:lpstr>
      <vt:lpstr>opt_strike</vt:lpstr>
      <vt:lpstr>prc_date</vt:lpstr>
      <vt:lpstr>range_am</vt:lpstr>
      <vt:lpstr>range_call</vt:lpstr>
      <vt:lpstr>rg_call</vt:lpstr>
      <vt:lpstr>rg_delta</vt:lpstr>
      <vt:lpstr>rg_div</vt:lpstr>
      <vt:lpstr>rg_gamma</vt:lpstr>
      <vt:lpstr>rg_mat</vt:lpstr>
      <vt:lpstr>rg_prix_bs</vt:lpstr>
      <vt:lpstr>rg_prix_pyt</vt:lpstr>
      <vt:lpstr>rg_prix_vba</vt:lpstr>
      <vt:lpstr>rg_rate</vt:lpstr>
      <vt:lpstr>rg_spot</vt:lpstr>
      <vt:lpstr>rg_strike</vt:lpstr>
      <vt:lpstr>rg_vega</vt:lpstr>
      <vt:lpstr>rg_vol</vt:lpstr>
      <vt:lpstr>time_tree</vt:lpstr>
      <vt:lpstr>TopLeftData</vt:lpstr>
      <vt:lpstr>tree_price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Abdoulaye Gaye</dc:creator>
  <cp:lastModifiedBy>Abdoulaye Gaye</cp:lastModifiedBy>
  <dcterms:created xsi:type="dcterms:W3CDTF">2023-11-03T09:32:34Z</dcterms:created>
  <dcterms:modified xsi:type="dcterms:W3CDTF">2023-11-17T09:55:02Z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c45191-74e4-40a9-a4c5-ab5c9391e33a_Enabled">
    <vt:lpwstr>true</vt:lpwstr>
  </property>
  <property fmtid="{D5CDD505-2E9C-101B-9397-08002B2CF9AE}" pid="3" name="MSIP_Label_6ac45191-74e4-40a9-a4c5-ab5c9391e33a_SetDate">
    <vt:lpwstr>2023-11-04T17:41:00Z</vt:lpwstr>
  </property>
  <property fmtid="{D5CDD505-2E9C-101B-9397-08002B2CF9AE}" pid="4" name="MSIP_Label_6ac45191-74e4-40a9-a4c5-ab5c9391e33a_Method">
    <vt:lpwstr>Standard</vt:lpwstr>
  </property>
  <property fmtid="{D5CDD505-2E9C-101B-9397-08002B2CF9AE}" pid="5" name="MSIP_Label_6ac45191-74e4-40a9-a4c5-ab5c9391e33a_Name">
    <vt:lpwstr>Internal Data</vt:lpwstr>
  </property>
  <property fmtid="{D5CDD505-2E9C-101B-9397-08002B2CF9AE}" pid="6" name="MSIP_Label_6ac45191-74e4-40a9-a4c5-ab5c9391e33a_SiteId">
    <vt:lpwstr>a5c34232-eadc-4609-bff3-dd6fcdae3fe2</vt:lpwstr>
  </property>
  <property fmtid="{D5CDD505-2E9C-101B-9397-08002B2CF9AE}" pid="7" name="MSIP_Label_6ac45191-74e4-40a9-a4c5-ab5c9391e33a_ActionId">
    <vt:lpwstr>4d85f2fb-29ad-4239-aa9f-5004e558b317</vt:lpwstr>
  </property>
  <property fmtid="{D5CDD505-2E9C-101B-9397-08002B2CF9AE}" pid="8" name="MSIP_Label_6ac45191-74e4-40a9-a4c5-ab5c9391e33a_ContentBits">
    <vt:lpwstr>0</vt:lpwstr>
  </property>
</Properties>
</file>